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2c31631b4b5aa2b/Documents/Elif dashboard project/Github uploaded project/"/>
    </mc:Choice>
  </mc:AlternateContent>
  <xr:revisionPtr revIDLastSave="392" documentId="13_ncr:1_{55B152A7-D34E-4531-B1D2-848194F6016A}" xr6:coauthVersionLast="47" xr6:coauthVersionMax="47" xr10:uidLastSave="{86626F28-1A19-457A-A9DA-814C0C47BCA7}"/>
  <bookViews>
    <workbookView xWindow="-108" yWindow="-108" windowWidth="23256" windowHeight="12456" activeTab="1" xr2:uid="{00000000-000D-0000-FFFF-FFFF00000000}"/>
  </bookViews>
  <sheets>
    <sheet name="MAIN" sheetId="8" r:id="rId1"/>
    <sheet name="Report 1" sheetId="4" r:id="rId2"/>
    <sheet name="Report 2" sheetId="3" r:id="rId3"/>
  </sheets>
  <definedNames>
    <definedName name="_xlnm._FilterDatabase" localSheetId="1" hidden="1">'Report 1'!#REF!</definedName>
    <definedName name="_xlnm._FilterDatabase" localSheetId="2" hidden="1">'Report 2'!$P$6:$Q$6</definedName>
    <definedName name="_xlnm.Print_Area" localSheetId="1">'Report 1'!$B$7:$H$24</definedName>
    <definedName name="_xlnm.Print_Area" localSheetId="2">'Report 2'!$C$3:$K$51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<sst xmlns="http://schemas.openxmlformats.org/spreadsheetml/2006/main" count="73" uniqueCount="56">
  <si>
    <t>Financial Aggregated Results</t>
  </si>
  <si>
    <t>Europe - North America - Asia</t>
  </si>
  <si>
    <t>Shop Name</t>
  </si>
  <si>
    <t>London</t>
  </si>
  <si>
    <t>Extreme Shop</t>
  </si>
  <si>
    <t>Extreme Shop II</t>
  </si>
  <si>
    <t>Hidden Rock</t>
  </si>
  <si>
    <t>Mountain Heaven</t>
  </si>
  <si>
    <t>Snow Giant</t>
  </si>
  <si>
    <t>Marketing Overview</t>
  </si>
  <si>
    <t>Contact Finance Department for more information.</t>
  </si>
  <si>
    <t>Report Week:</t>
  </si>
  <si>
    <t>Top 3 Weekly Locations</t>
  </si>
  <si>
    <t>Weekly Sales per Shop (vs Target)</t>
  </si>
  <si>
    <t>Weekly Target</t>
  </si>
  <si>
    <t>Weekly Sales</t>
  </si>
  <si>
    <t>Opening Hour</t>
  </si>
  <si>
    <t>Sales Count per Opening Hour</t>
  </si>
  <si>
    <t>Returned Sales Value</t>
  </si>
  <si>
    <t>Reporting Week</t>
  </si>
  <si>
    <t>Shop Location</t>
  </si>
  <si>
    <t>Sales Split per Location</t>
  </si>
  <si>
    <t>Weekly Sales per Shop</t>
  </si>
  <si>
    <t>PDF Report</t>
  </si>
  <si>
    <t>To:</t>
  </si>
  <si>
    <t>Cc:</t>
  </si>
  <si>
    <t>Reporting Week:</t>
  </si>
  <si>
    <t>Report 1</t>
  </si>
  <si>
    <t>Weekly Marketing Report</t>
  </si>
  <si>
    <t>Report 2</t>
  </si>
  <si>
    <t>Report 3</t>
  </si>
  <si>
    <t>Data Upload</t>
  </si>
  <si>
    <t>Performance</t>
  </si>
  <si>
    <t>Sales Transactions</t>
  </si>
  <si>
    <t>"Returned" Product Sales Value</t>
  </si>
  <si>
    <t>Percentage</t>
  </si>
  <si>
    <t>Total Returned</t>
  </si>
  <si>
    <t>Sales Count</t>
  </si>
  <si>
    <t>Body:</t>
  </si>
  <si>
    <t>ceo@winterforecasting.com</t>
  </si>
  <si>
    <t>finance@winterforecasting.com</t>
  </si>
  <si>
    <t>Weekly Shop Reports</t>
  </si>
  <si>
    <t>Weekly Customers Overview</t>
  </si>
  <si>
    <t>Weekly Shop Discount Overview</t>
  </si>
  <si>
    <t>Weekly CEO Report</t>
  </si>
  <si>
    <t>Project Automation</t>
  </si>
  <si>
    <t>Tokyo</t>
  </si>
  <si>
    <t>New-York</t>
  </si>
  <si>
    <t>Paris</t>
  </si>
  <si>
    <t>Brussels</t>
  </si>
  <si>
    <t>&lt;BODY style=font-family:Calibri&gt;
Dear CEO,
&lt;p&gt;Please find attached your weekly report.
&lt;p&gt;Kind regards,
&lt;p&gt;&lt;b&gt;Finance Department&lt;/b&gt;
&lt;/BODY&gt;</t>
  </si>
  <si>
    <t>Alpha</t>
  </si>
  <si>
    <t>Beta</t>
  </si>
  <si>
    <t>Delta</t>
  </si>
  <si>
    <t>Epsilon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</si>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</sst>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[$€-2]\ * #,##0.00_-;\-[$€-2]\ * #,##0.00_-;_-[$€-2]\ * &quot;-&quot;??_-;_-@_-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Bahnschrift Light"/>
      <family val="2"/>
    </font>
    <font>
      <sz val="10"/>
      <color theme="1"/>
      <name val="Bahnschrift"/>
      <family val="2"/>
    </font>
    <font>
      <sz val="26"/>
      <color theme="1"/>
      <name val="Bahnschrift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theme="1"/>
      <name val="Bahnschrift Light"/>
      <family val="2"/>
    </font>
    <font>
      <sz val="11"/>
      <color indexed="8"/>
      <name val="Bahnschrift Light"/>
      <family val="2"/>
    </font>
    <font>
      <sz val="14"/>
      <color rgb="FF34ECA2"/>
      <name val="Bahnschrift SemiBold"/>
      <family val="2"/>
    </font>
    <font>
      <sz val="10"/>
      <color indexed="8"/>
      <name val="Arial"/>
      <family val="2"/>
    </font>
    <font>
      <sz val="11"/>
      <color theme="1" tint="0.249977111117893"/>
      <name val="Bahnschrift SemiBold"/>
      <family val="2"/>
    </font>
    <font>
      <sz val="11"/>
      <color rgb="FF34ECA2"/>
      <name val="Bahnschrift SemiBold"/>
      <family val="2"/>
    </font>
    <font>
      <sz val="18"/>
      <color theme="1" tint="0.249977111117893"/>
      <name val="Bahnschrift"/>
      <family val="2"/>
    </font>
    <font>
      <sz val="26"/>
      <color theme="1" tint="0.249977111117893"/>
      <name val="Bahnschrift"/>
      <family val="2"/>
    </font>
    <font>
      <sz val="11"/>
      <color theme="1" tint="0.249977111117893"/>
      <name val="Bahnschrift Light"/>
      <family val="2"/>
    </font>
    <font>
      <sz val="16"/>
      <color theme="1" tint="0.249977111117893"/>
      <name val="Bahnschrift"/>
      <family val="2"/>
    </font>
    <font>
      <b/>
      <sz val="10"/>
      <color theme="1"/>
      <name val="Bahnschrift"/>
      <family val="2"/>
    </font>
    <font>
      <sz val="10"/>
      <color indexed="8"/>
      <name val="Bahnschrift Light"/>
      <family val="2"/>
    </font>
    <font>
      <sz val="12"/>
      <color theme="1" tint="0.249977111117893"/>
      <name val="Bahnschrift"/>
      <family val="2"/>
    </font>
    <font>
      <sz val="10"/>
      <color theme="1"/>
      <name val="Bahnschrift Light"/>
      <family val="2"/>
    </font>
    <font>
      <sz val="16"/>
      <color rgb="FF34ECA2"/>
      <name val="Bahnschrift SemiBold"/>
      <family val="2"/>
    </font>
    <font>
      <sz val="48"/>
      <color theme="1" tint="0.34998626667073579"/>
      <name val="Bahnschrift"/>
      <family val="2"/>
    </font>
    <font>
      <sz val="16"/>
      <color theme="1" tint="0.34998626667073579"/>
      <name val="Bahnschrift SemiBold"/>
      <family val="2"/>
    </font>
    <font>
      <u/>
      <sz val="11"/>
      <color theme="10"/>
      <name val="Calibri"/>
      <family val="2"/>
      <scheme val="minor"/>
    </font>
    <font>
      <u/>
      <sz val="10"/>
      <name val="Bahnschrift SemiBold"/>
      <family val="2"/>
    </font>
    <font>
      <sz val="10"/>
      <name val="Bahnschrift SemiBold"/>
      <family val="2"/>
    </font>
  </fonts>
  <fills count="4">
    <fill>
      <patternFill patternType="none"/>
    </fill>
    <fill>
      <patternFill patternType="gray125"/>
    </fill>
    <fill>
      <patternFill patternType="solid">
        <fgColor rgb="FF34ECA2"/>
        <bgColor indexed="0"/>
      </patternFill>
    </fill>
    <fill>
      <patternFill patternType="solid">
        <fgColor rgb="FF34ECA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6" fillId="0" borderId="0"/>
    <xf numFmtId="0" fontId="5" fillId="0" borderId="0"/>
    <xf numFmtId="0" fontId="10" fillId="0" borderId="0"/>
    <xf numFmtId="0" fontId="24" fillId="0" borderId="0" applyNumberFormat="0" applyFill="0" applyBorder="0" applyAlignment="0" applyProtection="0"/>
  </cellStyleXfs>
  <cellXfs count="67">
    <xf numFmtId="0" fontId="0" fillId="0" borderId="0" xfId="0"/>
    <xf numFmtId="14" fontId="2" fillId="0" borderId="0" xfId="0" applyNumberFormat="1" applyFont="1" applyAlignment="1">
      <alignment vertical="center"/>
    </xf>
    <xf numFmtId="0" fontId="3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4" xfId="3" applyFont="1" applyBorder="1" applyAlignment="1">
      <alignment horizontal="center" vertical="center" wrapText="1"/>
    </xf>
    <xf numFmtId="165" fontId="8" fillId="0" borderId="4" xfId="2" applyNumberFormat="1" applyFont="1" applyFill="1" applyBorder="1" applyAlignment="1">
      <alignment horizontal="center" vertical="center" wrapText="1"/>
    </xf>
    <xf numFmtId="10" fontId="8" fillId="0" borderId="4" xfId="1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7" fillId="0" borderId="0" xfId="0" applyFont="1"/>
    <xf numFmtId="0" fontId="18" fillId="0" borderId="14" xfId="5" applyFont="1" applyBorder="1"/>
    <xf numFmtId="0" fontId="18" fillId="0" borderId="4" xfId="5" applyFont="1" applyBorder="1"/>
    <xf numFmtId="165" fontId="18" fillId="0" borderId="14" xfId="2" applyNumberFormat="1" applyFont="1" applyFill="1" applyBorder="1" applyAlignment="1">
      <alignment horizontal="right"/>
    </xf>
    <xf numFmtId="165" fontId="18" fillId="0" borderId="4" xfId="2" applyNumberFormat="1" applyFont="1" applyFill="1" applyBorder="1" applyAlignment="1">
      <alignment horizontal="right"/>
    </xf>
    <xf numFmtId="0" fontId="19" fillId="0" borderId="0" xfId="0" applyFont="1" applyAlignment="1">
      <alignment horizontal="right" vertical="center"/>
    </xf>
    <xf numFmtId="0" fontId="20" fillId="0" borderId="0" xfId="0" applyFont="1"/>
    <xf numFmtId="164" fontId="20" fillId="0" borderId="0" xfId="2" applyFont="1"/>
    <xf numFmtId="0" fontId="18" fillId="0" borderId="4" xfId="5" applyFont="1" applyBorder="1" applyAlignment="1">
      <alignment horizontal="center" wrapText="1"/>
    </xf>
    <xf numFmtId="0" fontId="18" fillId="0" borderId="4" xfId="4" applyFont="1" applyBorder="1"/>
    <xf numFmtId="165" fontId="18" fillId="0" borderId="4" xfId="4" applyNumberFormat="1" applyFont="1" applyBorder="1" applyAlignment="1">
      <alignment horizontal="right"/>
    </xf>
    <xf numFmtId="10" fontId="18" fillId="0" borderId="4" xfId="1" applyNumberFormat="1" applyFont="1" applyFill="1" applyBorder="1" applyAlignment="1">
      <alignment horizontal="center"/>
    </xf>
    <xf numFmtId="0" fontId="18" fillId="2" borderId="15" xfId="5" applyFont="1" applyFill="1" applyBorder="1" applyAlignment="1">
      <alignment horizontal="center" vertical="center"/>
    </xf>
    <xf numFmtId="164" fontId="18" fillId="2" borderId="15" xfId="2" applyFont="1" applyFill="1" applyBorder="1" applyAlignment="1">
      <alignment horizontal="center" vertical="center"/>
    </xf>
    <xf numFmtId="0" fontId="18" fillId="0" borderId="14" xfId="5" applyFont="1" applyBorder="1" applyAlignment="1">
      <alignment horizontal="center" wrapText="1"/>
    </xf>
    <xf numFmtId="0" fontId="18" fillId="0" borderId="14" xfId="4" applyFont="1" applyBorder="1"/>
    <xf numFmtId="165" fontId="18" fillId="0" borderId="14" xfId="4" applyNumberFormat="1" applyFont="1" applyBorder="1" applyAlignment="1">
      <alignment horizontal="right"/>
    </xf>
    <xf numFmtId="10" fontId="18" fillId="0" borderId="14" xfId="1" applyNumberFormat="1" applyFont="1" applyFill="1" applyBorder="1" applyAlignment="1">
      <alignment horizontal="center"/>
    </xf>
    <xf numFmtId="0" fontId="0" fillId="3" borderId="1" xfId="0" applyFill="1" applyBorder="1"/>
    <xf numFmtId="0" fontId="7" fillId="0" borderId="2" xfId="0" applyFont="1" applyBorder="1"/>
    <xf numFmtId="0" fontId="7" fillId="0" borderId="3" xfId="0" applyFont="1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22" fillId="0" borderId="0" xfId="0" applyFont="1" applyAlignment="1">
      <alignment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14" fontId="0" fillId="0" borderId="0" xfId="0" applyNumberFormat="1"/>
    <xf numFmtId="14" fontId="20" fillId="0" borderId="0" xfId="0" applyNumberFormat="1" applyFont="1"/>
    <xf numFmtId="0" fontId="0" fillId="0" borderId="0" xfId="0" applyAlignment="1">
      <alignment horizontal="left" vertical="center"/>
    </xf>
    <xf numFmtId="0" fontId="20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left" indent="1"/>
    </xf>
    <xf numFmtId="0" fontId="4" fillId="0" borderId="0" xfId="0" applyFont="1" applyAlignment="1">
      <alignment horizontal="left" vertical="center" indent="1"/>
    </xf>
    <xf numFmtId="0" fontId="9" fillId="0" borderId="5" xfId="0" applyFont="1" applyBorder="1" applyAlignment="1">
      <alignment horizontal="left" vertical="center"/>
    </xf>
    <xf numFmtId="0" fontId="7" fillId="0" borderId="0" xfId="0" applyFont="1" applyAlignment="1">
      <alignment horizontal="left" vertical="center" wrapText="1"/>
    </xf>
    <xf numFmtId="0" fontId="19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 indent="1"/>
    </xf>
    <xf numFmtId="14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left" vertical="center" indent="1"/>
    </xf>
    <xf numFmtId="0" fontId="13" fillId="0" borderId="0" xfId="0" applyFont="1" applyAlignment="1">
      <alignment horizontal="center" vertical="center"/>
    </xf>
    <xf numFmtId="0" fontId="25" fillId="0" borderId="0" xfId="6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11" fillId="0" borderId="0" xfId="0" applyFont="1" applyAlignment="1">
      <alignment horizontal="center"/>
    </xf>
  </cellXfs>
  <cellStyles count="7">
    <cellStyle name="Comma" xfId="2" builtinId="3"/>
    <cellStyle name="Hyperlink" xfId="6" builtinId="8"/>
    <cellStyle name="Normal" xfId="0" builtinId="0"/>
    <cellStyle name="Normal_Report 1" xfId="4" xr:uid="{00000000-0005-0000-0000-000003000000}"/>
    <cellStyle name="Normal_Report 1_1" xfId="5" xr:uid="{00000000-0005-0000-0000-000004000000}"/>
    <cellStyle name="Normal_Report 2" xfId="3" xr:uid="{00000000-0005-0000-0000-000005000000}"/>
    <cellStyle name="Percent" xfId="1" builtinId="5"/>
  </cellStyles>
  <dxfs count="0"/>
  <tableStyles count="0" defaultTableStyle="TableStyleMedium2" defaultPivotStyle="PivotStyleLight16"/>
  <colors>
    <mruColors>
      <color rgb="FF34EC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19005303921132"/>
          <c:y val="0.16598656935650266"/>
          <c:w val="0.78900019350133221"/>
          <c:h val="0.7670423820791801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'Report 1'!$J$7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'Report 1'!$I$8:$I$12</c:f>
              <c:strCache>
                <c:ptCount val="5"/>
                <c:pt idx="0">
                  <c:v>Alpha</c:v>
                </c:pt>
                <c:pt idx="1">
                  <c:v>Beta</c:v>
                </c:pt>
                <c:pt idx="2">
                  <c:v>Delta</c:v>
                </c:pt>
                <c:pt idx="3">
                  <c:v>Epsilon</c:v>
                </c:pt>
                <c:pt idx="4">
                  <c:v>Gamma</c:v>
                </c:pt>
              </c:strCache>
            </c:strRef>
          </c:cat>
          <c:val>
            <c:numRef>
              <c:f>'Report 1'!$J$8:$J$12</c:f>
              <c:numCache>
                <c:formatCode>_-[$€-2]\ * #,##0.00_-;\-[$€-2]\ * #,##0.00_-;_-[$€-2]\ * "-"??_-;_-@_-</c:formatCode>
                <c:ptCount val="5"/>
                <c:pt idx="0">
                  <c:v>369956.32899999642</c:v>
                </c:pt>
                <c:pt idx="1">
                  <c:v>359731.95249999728</c:v>
                </c:pt>
                <c:pt idx="2">
                  <c:v>390103.93799999746</c:v>
                </c:pt>
                <c:pt idx="3">
                  <c:v>404882.37499999756</c:v>
                </c:pt>
                <c:pt idx="4">
                  <c:v>282550.76699999813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0-48C9-BC22-44C3E7085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48305224"/>
        <c:axId val="948309488"/>
      </c:barChart>
      <c:catAx>
        <c:axId val="948305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48309488"/>
        <c:crosses val="autoZero"/>
        <c:auto val="1"/>
        <c:lblAlgn val="ctr"/>
        <c:lblOffset val="100"/>
        <c:noMultiLvlLbl val="0"/>
      </c:catAx>
      <c:valAx>
        <c:axId val="9483094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48305224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9142193709719"/>
          <c:y val="0.22307555926370132"/>
          <c:w val="0.77864717760941504"/>
          <c:h val="0.67979419791069162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 w="19050">
              <a:solidFill>
                <a:schemeClr val="lt1"/>
              </a:solidFill>
            </a:ln>
            <a:effectLst/>
          </c:spPr>
          <c:invertIfNegative val="0"/>
          <c:cat>
            <c:strRef>
              <c:f>'Report 1'!$I$15:$I$17</c:f>
              <c:strCache>
                <c:ptCount val="3"/>
                <c:pt idx="0">
                  <c:v>Tokyo</c:v>
                </c:pt>
                <c:pt idx="1">
                  <c:v>New-York</c:v>
                </c:pt>
                <c:pt idx="2">
                  <c:v>London</c:v>
                </c:pt>
              </c:strCache>
            </c:strRef>
          </c:cat>
          <c:val>
            <c:numRef>
              <c:f>'Report 1'!$J$15:$J$17</c:f>
              <c:numCache>
                <c:formatCode>_-[$€-2]\ * #,##0.00_-;\-[$€-2]\ * #,##0.00_-;_-[$€-2]\ * "-"??_-;_-@_-</c:formatCode>
                <c:ptCount val="3"/>
                <c:pt idx="0">
                  <c:v>299243.75299999793</c:v>
                </c:pt>
                <c:pt idx="1">
                  <c:v>305953.01299999829</c:v>
                </c:pt>
                <c:pt idx="2">
                  <c:v>316229.85149999766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DC-4B94-BA92-6625290C4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48305224"/>
        <c:axId val="948309488"/>
      </c:barChart>
      <c:catAx>
        <c:axId val="9483052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48309488"/>
        <c:crosses val="autoZero"/>
        <c:auto val="1"/>
        <c:lblAlgn val="ctr"/>
        <c:lblOffset val="100"/>
        <c:noMultiLvlLbl val="0"/>
      </c:catAx>
      <c:valAx>
        <c:axId val="94830948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€-2]\ * #,##0.00_-;\-[$€-2]\ * #,##0.00_-;_-[$€-2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48305224"/>
        <c:crosses val="autoZero"/>
        <c:crossBetween val="between"/>
        <c:majorUnit val="25000"/>
        <c:minorUnit val="1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81048777220428"/>
          <c:y val="6.9841269841269843E-2"/>
          <c:w val="0.84846424442691359"/>
          <c:h val="0.7138827646544182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'Report 1'!$J$7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'Report 1'!$I$20:$I$24</c:f>
              <c:strCache>
                <c:ptCount val="5"/>
                <c:pt idx="0">
                  <c:v>Extreme Shop</c:v>
                </c:pt>
                <c:pt idx="1">
                  <c:v>Extreme Shop II</c:v>
                </c:pt>
                <c:pt idx="2">
                  <c:v>Hidden Rock</c:v>
                </c:pt>
                <c:pt idx="3">
                  <c:v>Mountain Heaven</c:v>
                </c:pt>
                <c:pt idx="4">
                  <c:v>Snow Giant</c:v>
                </c:pt>
              </c:strCache>
            </c:strRef>
          </c:cat>
          <c:val>
            <c:numRef>
              <c:f>'Report 1'!$J$20:$J$24</c:f>
              <c:numCache>
                <c:formatCode>0.00%</c:formatCode>
                <c:ptCount val="5"/>
                <c:pt idx="0">
                  <c:v>0.37947284345047844</c:v>
                </c:pt>
                <c:pt idx="1">
                  <c:v>0.35307909604519833</c:v>
                </c:pt>
                <c:pt idx="2">
                  <c:v>0.34768015794669266</c:v>
                </c:pt>
                <c:pt idx="3">
                  <c:v>0.37103773584905636</c:v>
                </c:pt>
                <c:pt idx="4">
                  <c:v>0.37972972972972907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0-4350-9A78-588D5BA28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8305224"/>
        <c:axId val="948309488"/>
      </c:barChart>
      <c:catAx>
        <c:axId val="948305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48309488"/>
        <c:crosses val="autoZero"/>
        <c:auto val="1"/>
        <c:lblAlgn val="ctr"/>
        <c:lblOffset val="100"/>
        <c:noMultiLvlLbl val="0"/>
      </c:catAx>
      <c:valAx>
        <c:axId val="94830948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48305224"/>
        <c:crosses val="autoZero"/>
        <c:crossBetween val="between"/>
        <c:min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82885693865803"/>
          <c:y val="2.6107596563066666E-2"/>
          <c:w val="0.7183781999544625"/>
          <c:h val="0.893927283335448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'Report 2'!$Q$40</c:f>
              <c:strCache>
                <c:ptCount val="1"/>
                <c:pt idx="0">
                  <c:v> Weekly Sales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numFmt formatCode="_-* #,##0.00\ [$€-80C]_-;\-* #,##0.00\ [$€-80C]_-;_-* &quot;-&quot;??\ [$€-80C]_-;_-@_-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 2'!$P$41:$P$45</c:f>
              <c:strCache>
                <c:ptCount val="5"/>
                <c:pt idx="0">
                  <c:v>Hidden Rock</c:v>
                </c:pt>
                <c:pt idx="1">
                  <c:v>Extreme Shop</c:v>
                </c:pt>
                <c:pt idx="2">
                  <c:v>Snow Giant</c:v>
                </c:pt>
                <c:pt idx="3">
                  <c:v>Mountain Heaven</c:v>
                </c:pt>
                <c:pt idx="4">
                  <c:v>Extreme Shop II</c:v>
                </c:pt>
              </c:strCache>
            </c:strRef>
          </c:cat>
          <c:val>
            <c:numRef>
              <c:f>'Report 2'!$Q$41:$Q$45</c:f>
              <c:numCache>
                <c:formatCode>_-[$€-2]\ * #,##0.00_-;\-[$€-2]\ * #,##0.00_-;_-[$€-2]\ * "-"??_-;_-@_-</c:formatCode>
                <c:ptCount val="5"/>
                <c:pt idx="0">
                  <c:v>305953.01299999829</c:v>
                </c:pt>
                <c:pt idx="1">
                  <c:v>360282.18299999699</c:v>
                </c:pt>
                <c:pt idx="2">
                  <c:v>299243.75299999793</c:v>
                </c:pt>
                <c:pt idx="3">
                  <c:v>316229.85149999749</c:v>
                </c:pt>
                <c:pt idx="4">
                  <c:v>525516.56099999615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5C-4DAF-9E5E-63851B85D089}"/>
            </c:ext>
          </c:extLst>
        </c:ser>
        <c:ser>
          <c:idx val="1"/>
          <c:order val="1"/>
          <c:tx>
            <c:strRef>
              <c:f>'Report 2'!$R$40</c:f>
              <c:strCache>
                <c:ptCount val="1"/>
                <c:pt idx="0">
                  <c:v> Weekly Target 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Lbls>
            <c:numFmt formatCode="_-* #,##0.00\ [$€-80C]_-;\-* #,##0.00\ [$€-80C]_-;_-* &quot;-&quot;??\ [$€-80C]_-;_-@_-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Bahnschrift Light" panose="020B0502040204020203" pitchFamily="34" charset="0"/>
                    <a:ea typeface="+mn-ea"/>
                    <a:cs typeface="+mn-cs"/>
                  </a:defRPr>
                </a:pPr>
                <a:endParaRPr lang="en-B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'Report 2'!$P$41:$P$45</c:f>
              <c:strCache>
                <c:ptCount val="5"/>
                <c:pt idx="0">
                  <c:v>Hidden Rock</c:v>
                </c:pt>
                <c:pt idx="1">
                  <c:v>Extreme Shop</c:v>
                </c:pt>
                <c:pt idx="2">
                  <c:v>Snow Giant</c:v>
                </c:pt>
                <c:pt idx="3">
                  <c:v>Mountain Heaven</c:v>
                </c:pt>
                <c:pt idx="4">
                  <c:v>Extreme Shop II</c:v>
                </c:pt>
              </c:strCache>
            </c:strRef>
          </c:cat>
          <c:val>
            <c:numRef>
              <c:f>'Report 2'!$R$41:$R$45</c:f>
              <c:numCache>
                <c:formatCode>_-[$€-2]\ * #,##0.00_-;\-[$€-2]\ * #,##0.00_-;_-[$€-2]\ * "-"??_-;_-@_-</c:formatCode>
                <c:ptCount val="5"/>
                <c:pt idx="0">
                  <c:v>250000</c:v>
                </c:pt>
                <c:pt idx="1">
                  <c:v>275000</c:v>
                </c:pt>
                <c:pt idx="2">
                  <c:v>350000</c:v>
                </c:pt>
                <c:pt idx="3">
                  <c:v>425000</c:v>
                </c:pt>
                <c:pt idx="4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5C-4DAF-9E5E-63851B85D08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30792944"/>
        <c:axId val="430790648"/>
      </c:barChart>
      <c:catAx>
        <c:axId val="4307929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430790648"/>
        <c:crosses val="autoZero"/>
        <c:auto val="1"/>
        <c:lblAlgn val="ctr"/>
        <c:lblOffset val="100"/>
        <c:noMultiLvlLbl val="0"/>
      </c:catAx>
      <c:valAx>
        <c:axId val="43079064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\ [$€-80C]" sourceLinked="0"/>
        <c:majorTickMark val="none"/>
        <c:minorTickMark val="none"/>
        <c:tickLblPos val="nextTo"/>
        <c:crossAx val="430792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'Report 2'!$Q$16</c:f>
              <c:strCache>
                <c:ptCount val="1"/>
                <c:pt idx="0">
                  <c:v> Sales Count 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'Report 2'!$P$17:$P$25</c:f>
              <c:numCache>
                <c:formatCode>General</c:formatCode>
                <c:ptCount val="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</c:numCache>
            </c:numRef>
          </c:cat>
          <c:val>
            <c:numRef>
              <c:f>'Report 2'!$Q$17:$Q$25</c:f>
              <c:numCache>
                <c:formatCode>General</c:formatCode>
                <c:ptCount val="9"/>
                <c:pt idx="0">
                  <c:v>805</c:v>
                </c:pt>
                <c:pt idx="1">
                  <c:v>796</c:v>
                </c:pt>
                <c:pt idx="2">
                  <c:v>774</c:v>
                </c:pt>
                <c:pt idx="3">
                  <c:v>819</c:v>
                </c:pt>
                <c:pt idx="4">
                  <c:v>732</c:v>
                </c:pt>
                <c:pt idx="5">
                  <c:v>787</c:v>
                </c:pt>
                <c:pt idx="6">
                  <c:v>765</c:v>
                </c:pt>
                <c:pt idx="7">
                  <c:v>736</c:v>
                </c:pt>
                <c:pt idx="8">
                  <c:v>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3-479F-A802-7EFC1570C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90784120"/>
        <c:axId val="990779856"/>
      </c:barChart>
      <c:catAx>
        <c:axId val="9907841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90779856"/>
        <c:crosses val="autoZero"/>
        <c:auto val="1"/>
        <c:lblAlgn val="ctr"/>
        <c:lblOffset val="100"/>
        <c:noMultiLvlLbl val="0"/>
      </c:catAx>
      <c:valAx>
        <c:axId val="99077985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99078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 2'!$Q$6</c:f>
              <c:strCache>
                <c:ptCount val="1"/>
                <c:pt idx="0">
                  <c:v> Total Returned 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34ECA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9C1-4335-9EA7-86134ADDE2A5}"/>
              </c:ext>
            </c:extLst>
          </c:dPt>
          <c:cat>
            <c:strRef>
              <c:f>'Report 2'!$P$7:$P$11</c:f>
              <c:strCache>
                <c:ptCount val="5"/>
                <c:pt idx="0">
                  <c:v>Extreme Shop II</c:v>
                </c:pt>
                <c:pt idx="1">
                  <c:v>Extreme Shop</c:v>
                </c:pt>
                <c:pt idx="2">
                  <c:v>Snow Giant</c:v>
                </c:pt>
                <c:pt idx="3">
                  <c:v>Mountain Heaven</c:v>
                </c:pt>
                <c:pt idx="4">
                  <c:v>Hidden Rock</c:v>
                </c:pt>
              </c:strCache>
            </c:strRef>
          </c:cat>
          <c:val>
            <c:numRef>
              <c:f>'Report 2'!$Q$7:$Q$11</c:f>
              <c:numCache>
                <c:formatCode>_-[$€-2]\ * #,##0.00_-;\-[$€-2]\ * #,##0.00_-;_-[$€-2]\ * "-"??_-;_-@_-</c:formatCode>
                <c:ptCount val="5"/>
                <c:pt idx="0">
                  <c:v>77806.472499999843</c:v>
                </c:pt>
                <c:pt idx="1">
                  <c:v>48115.764999999999</c:v>
                </c:pt>
                <c:pt idx="2">
                  <c:v>46934.308000000019</c:v>
                </c:pt>
                <c:pt idx="3">
                  <c:v>44529.924000000021</c:v>
                </c:pt>
                <c:pt idx="4">
                  <c:v>31742.995500000012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0-4958-B8AF-1571B577F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4847576"/>
        <c:axId val="1074851840"/>
      </c:barChart>
      <c:catAx>
        <c:axId val="1074847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1074851840"/>
        <c:crosses val="autoZero"/>
        <c:auto val="1"/>
        <c:lblAlgn val="ctr"/>
        <c:lblOffset val="100"/>
        <c:noMultiLvlLbl val="0"/>
      </c:catAx>
      <c:valAx>
        <c:axId val="107485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\ [$€-80C]_-;\-* #,##0\ [$€-80C]_-;_-* &quot;-&quot;\ [$€-80C]_-;_-@_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BE"/>
          </a:p>
        </c:txPr>
        <c:crossAx val="107484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'Report 2'!$Q$30</c:f>
              <c:strCache>
                <c:ptCount val="1"/>
                <c:pt idx="0">
                  <c:v> Percentage </c:v>
                </c:pt>
              </c:strCache>
            </c:strRef>
          </c:tx>
          <c:dPt>
            <c:idx val="0"/>
            <c:bubble3D val="0"/>
            <c:spPr>
              <a:solidFill>
                <a:schemeClr val="accent4">
                  <a:shade val="53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33B-4303-BE0F-E9E844DC4E09}"/>
              </c:ext>
            </c:extLst>
          </c:dPt>
          <c:dPt>
            <c:idx val="1"/>
            <c:bubble3D val="0"/>
            <c:spPr>
              <a:solidFill>
                <a:schemeClr val="accent4">
                  <a:shade val="76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33B-4303-BE0F-E9E844DC4E09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33B-4303-BE0F-E9E844DC4E09}"/>
              </c:ext>
            </c:extLst>
          </c:dPt>
          <c:dPt>
            <c:idx val="3"/>
            <c:bubble3D val="0"/>
            <c:spPr>
              <a:solidFill>
                <a:schemeClr val="accent4">
                  <a:tint val="77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33B-4303-BE0F-E9E844DC4E09}"/>
              </c:ext>
            </c:extLst>
          </c:dPt>
          <c:dPt>
            <c:idx val="4"/>
            <c:bubble3D val="0"/>
            <c:spPr>
              <a:solidFill>
                <a:schemeClr val="accent4">
                  <a:tint val="54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33B-4303-BE0F-E9E844DC4E0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en-BE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'Report 2'!$P$31:$P$35</c:f>
              <c:strCache>
                <c:ptCount val="5"/>
                <c:pt idx="0">
                  <c:v>Tokyo</c:v>
                </c:pt>
                <c:pt idx="1">
                  <c:v>New-York</c:v>
                </c:pt>
                <c:pt idx="2">
                  <c:v>London</c:v>
                </c:pt>
                <c:pt idx="3">
                  <c:v>Brussels</c:v>
                </c:pt>
                <c:pt idx="4">
                  <c:v>Paris</c:v>
                </c:pt>
              </c:strCache>
            </c:strRef>
          </c:cat>
          <c:val>
            <c:numRef>
              <c:f>'Report 2'!$Q$31:$Q$35</c:f>
              <c:numCache>
                <c:formatCode>0.00%</c:formatCode>
                <c:ptCount val="5"/>
                <c:pt idx="0">
                  <c:v>0.16558186896603203</c:v>
                </c:pt>
                <c:pt idx="1">
                  <c:v>0.16929433346710085</c:v>
                </c:pt>
                <c:pt idx="2">
                  <c:v>0.17498086195376888</c:v>
                </c:pt>
                <c:pt idx="3">
                  <c:v>0.19935653332185649</c:v>
                </c:pt>
                <c:pt idx="4">
                  <c:v>0.29078640229118413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02-48AB-9046-FEDAC2207B98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Bahnschrift" panose="020B0502040204020203" pitchFamily="34" charset="0"/>
              <a:ea typeface="+mn-ea"/>
              <a:cs typeface="+mn-cs"/>
            </a:defRPr>
          </a:pPr>
          <a:endParaRPr lang="en-BE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Bahnschrift" panose="020B0502040204020203" pitchFamily="34" charset="0"/>
        </a:defRPr>
      </a:pPr>
      <a:endParaRPr lang="en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image" Target="../media/image3.png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145154</xdr:colOff>
      <xdr:row>11</xdr:row>
      <xdr:rowOff>149086</xdr:rowOff>
    </xdr:from>
    <xdr:to>
      <xdr:col>16</xdr:col>
      <xdr:colOff>546648</xdr:colOff>
      <xdr:row>14</xdr:row>
      <xdr:rowOff>52434</xdr:rowOff>
    </xdr:to>
    <xdr:pic macro="[0]!Generate_Report1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8850" y="2551043"/>
          <a:ext cx="1014407" cy="450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14</xdr:row>
      <xdr:rowOff>149087</xdr:rowOff>
    </xdr:from>
    <xdr:to>
      <xdr:col>12</xdr:col>
      <xdr:colOff>337393</xdr:colOff>
      <xdr:row>14</xdr:row>
      <xdr:rowOff>149087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6129130" y="3097696"/>
          <a:ext cx="1563220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34ECA2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145154</xdr:colOff>
      <xdr:row>16</xdr:row>
      <xdr:rowOff>149086</xdr:rowOff>
    </xdr:from>
    <xdr:ext cx="1014407" cy="450000"/>
    <xdr:pic macro="[0]!Generate_Report_2"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8850" y="3462129"/>
          <a:ext cx="1014407" cy="450000"/>
        </a:xfrm>
        <a:prstGeom prst="rect">
          <a:avLst/>
        </a:prstGeom>
      </xdr:spPr>
    </xdr:pic>
    <xdr:clientData/>
  </xdr:oneCellAnchor>
  <xdr:twoCellAnchor>
    <xdr:from>
      <xdr:col>10</xdr:col>
      <xdr:colOff>0</xdr:colOff>
      <xdr:row>19</xdr:row>
      <xdr:rowOff>149087</xdr:rowOff>
    </xdr:from>
    <xdr:to>
      <xdr:col>12</xdr:col>
      <xdr:colOff>337393</xdr:colOff>
      <xdr:row>19</xdr:row>
      <xdr:rowOff>149087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6129130" y="3097696"/>
          <a:ext cx="1563220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34ECA2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15</xdr:col>
      <xdr:colOff>145154</xdr:colOff>
      <xdr:row>21</xdr:row>
      <xdr:rowOff>149086</xdr:rowOff>
    </xdr:from>
    <xdr:ext cx="1014407" cy="450000"/>
    <xdr:pic macro="[0]!Generate_Report_3"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38850" y="4373216"/>
          <a:ext cx="1014407" cy="450000"/>
        </a:xfrm>
        <a:prstGeom prst="rect">
          <a:avLst/>
        </a:prstGeom>
      </xdr:spPr>
    </xdr:pic>
    <xdr:clientData/>
  </xdr:oneCellAnchor>
  <xdr:twoCellAnchor>
    <xdr:from>
      <xdr:col>10</xdr:col>
      <xdr:colOff>0</xdr:colOff>
      <xdr:row>24</xdr:row>
      <xdr:rowOff>149087</xdr:rowOff>
    </xdr:from>
    <xdr:to>
      <xdr:col>12</xdr:col>
      <xdr:colOff>337393</xdr:colOff>
      <xdr:row>24</xdr:row>
      <xdr:rowOff>149087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6129130" y="3097696"/>
          <a:ext cx="1563220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34ECA2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14</xdr:row>
      <xdr:rowOff>149087</xdr:rowOff>
    </xdr:from>
    <xdr:to>
      <xdr:col>3</xdr:col>
      <xdr:colOff>337393</xdr:colOff>
      <xdr:row>14</xdr:row>
      <xdr:rowOff>149087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6129130" y="3097696"/>
          <a:ext cx="1563220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C00000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6</xdr:col>
      <xdr:colOff>140804</xdr:colOff>
      <xdr:row>11</xdr:row>
      <xdr:rowOff>149086</xdr:rowOff>
    </xdr:from>
    <xdr:to>
      <xdr:col>7</xdr:col>
      <xdr:colOff>535891</xdr:colOff>
      <xdr:row>14</xdr:row>
      <xdr:rowOff>50494</xdr:rowOff>
    </xdr:to>
    <xdr:pic macro="[0]!Upload_Sales"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8282" y="2551043"/>
          <a:ext cx="1008000" cy="44806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149087</xdr:rowOff>
    </xdr:from>
    <xdr:to>
      <xdr:col>3</xdr:col>
      <xdr:colOff>337393</xdr:colOff>
      <xdr:row>19</xdr:row>
      <xdr:rowOff>149087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612913" y="3097696"/>
          <a:ext cx="1563219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C00000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140804</xdr:colOff>
      <xdr:row>16</xdr:row>
      <xdr:rowOff>149086</xdr:rowOff>
    </xdr:from>
    <xdr:ext cx="1008000" cy="448060"/>
    <xdr:pic macro="[0]!Upload_Performance"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8282" y="2551043"/>
          <a:ext cx="1008000" cy="4480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190499</xdr:rowOff>
    </xdr:from>
    <xdr:to>
      <xdr:col>7</xdr:col>
      <xdr:colOff>390525</xdr:colOff>
      <xdr:row>12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9525</xdr:rowOff>
    </xdr:from>
    <xdr:to>
      <xdr:col>7</xdr:col>
      <xdr:colOff>390525</xdr:colOff>
      <xdr:row>17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7</xdr:col>
      <xdr:colOff>390525</xdr:colOff>
      <xdr:row>24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12</xdr:row>
      <xdr:rowOff>133350</xdr:rowOff>
    </xdr:from>
    <xdr:to>
      <xdr:col>7</xdr:col>
      <xdr:colOff>409575</xdr:colOff>
      <xdr:row>12</xdr:row>
      <xdr:rowOff>133350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609600" y="3276600"/>
          <a:ext cx="5057775" cy="0"/>
        </a:xfrm>
        <a:prstGeom prst="line">
          <a:avLst/>
        </a:prstGeom>
        <a:ln w="3175">
          <a:solidFill>
            <a:srgbClr val="34ECA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17</xdr:row>
      <xdr:rowOff>171450</xdr:rowOff>
    </xdr:from>
    <xdr:to>
      <xdr:col>7</xdr:col>
      <xdr:colOff>409575</xdr:colOff>
      <xdr:row>17</xdr:row>
      <xdr:rowOff>171450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09600" y="5648325"/>
          <a:ext cx="5057775" cy="0"/>
        </a:xfrm>
        <a:prstGeom prst="line">
          <a:avLst/>
        </a:prstGeom>
        <a:ln w="3175">
          <a:solidFill>
            <a:srgbClr val="34ECA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476250</xdr:colOff>
      <xdr:row>25</xdr:row>
      <xdr:rowOff>161925</xdr:rowOff>
    </xdr:from>
    <xdr:to>
      <xdr:col>7</xdr:col>
      <xdr:colOff>476251</xdr:colOff>
      <xdr:row>27</xdr:row>
      <xdr:rowOff>57150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 flipV="1">
          <a:off x="5734050" y="10496550"/>
          <a:ext cx="1" cy="276225"/>
        </a:xfrm>
        <a:prstGeom prst="line">
          <a:avLst/>
        </a:prstGeom>
        <a:ln w="19050">
          <a:solidFill>
            <a:srgbClr val="34ECA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600075</xdr:colOff>
      <xdr:row>4</xdr:row>
      <xdr:rowOff>142875</xdr:rowOff>
    </xdr:from>
    <xdr:to>
      <xdr:col>2</xdr:col>
      <xdr:colOff>448795</xdr:colOff>
      <xdr:row>4</xdr:row>
      <xdr:rowOff>142875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600075" y="904875"/>
          <a:ext cx="1563220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34ECA2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9</xdr:row>
      <xdr:rowOff>180974</xdr:rowOff>
    </xdr:from>
    <xdr:to>
      <xdr:col>7</xdr:col>
      <xdr:colOff>0</xdr:colOff>
      <xdr:row>35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80433</xdr:colOff>
      <xdr:row>10</xdr:row>
      <xdr:rowOff>28575</xdr:rowOff>
    </xdr:from>
    <xdr:to>
      <xdr:col>10</xdr:col>
      <xdr:colOff>542924</xdr:colOff>
      <xdr:row>36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41275</xdr:colOff>
      <xdr:row>38</xdr:row>
      <xdr:rowOff>10584</xdr:rowOff>
    </xdr:from>
    <xdr:to>
      <xdr:col>5</xdr:col>
      <xdr:colOff>819150</xdr:colOff>
      <xdr:row>50</xdr:row>
      <xdr:rowOff>133349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457200</xdr:colOff>
      <xdr:row>6</xdr:row>
      <xdr:rowOff>57150</xdr:rowOff>
    </xdr:from>
    <xdr:to>
      <xdr:col>6</xdr:col>
      <xdr:colOff>457200</xdr:colOff>
      <xdr:row>7</xdr:row>
      <xdr:rowOff>142875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4438650" y="1352550"/>
          <a:ext cx="0" cy="276225"/>
        </a:xfrm>
        <a:prstGeom prst="line">
          <a:avLst/>
        </a:prstGeom>
        <a:ln w="76200">
          <a:solidFill>
            <a:srgbClr val="34ECA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95250</xdr:colOff>
      <xdr:row>38</xdr:row>
      <xdr:rowOff>28575</xdr:rowOff>
    </xdr:from>
    <xdr:to>
      <xdr:col>10</xdr:col>
      <xdr:colOff>485775</xdr:colOff>
      <xdr:row>50</xdr:row>
      <xdr:rowOff>85724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112059</xdr:colOff>
      <xdr:row>5</xdr:row>
      <xdr:rowOff>78442</xdr:rowOff>
    </xdr:from>
    <xdr:to>
      <xdr:col>3</xdr:col>
      <xdr:colOff>778809</xdr:colOff>
      <xdr:row>5</xdr:row>
      <xdr:rowOff>78442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504265" y="941295"/>
          <a:ext cx="1563220" cy="0"/>
        </a:xfrm>
        <a:prstGeom prst="line">
          <a:avLst/>
        </a:prstGeom>
        <a:ln w="76200"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rgbClr val="34ECA2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474081</xdr:colOff>
      <xdr:row>55</xdr:row>
      <xdr:rowOff>171450</xdr:rowOff>
    </xdr:from>
    <xdr:to>
      <xdr:col>3</xdr:col>
      <xdr:colOff>431606</xdr:colOff>
      <xdr:row>61</xdr:row>
      <xdr:rowOff>74131</xdr:rowOff>
    </xdr:to>
    <xdr:pic>
      <xdr:nvPicPr>
        <xdr:cNvPr id="8" name="Picture 7" descr="Pdf Logo Adobe - Image gratuite sur Pixabay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664" r="28458"/>
        <a:stretch/>
      </xdr:blipFill>
      <xdr:spPr bwMode="auto">
        <a:xfrm>
          <a:off x="931281" y="10648950"/>
          <a:ext cx="852875" cy="1045681"/>
        </a:xfrm>
        <a:prstGeom prst="rect">
          <a:avLst/>
        </a:prstGeom>
        <a:solidFill>
          <a:schemeClr val="bg1"/>
        </a:solidFill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finance@winterforecasting.com" TargetMode="External"/><Relationship Id="rId1" Type="http://schemas.openxmlformats.org/officeDocument/2006/relationships/hyperlink" Target="mailto:ceo@winterforecasting.com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R37"/>
  <sheetViews>
    <sheetView showGridLines="0" zoomScale="90" zoomScaleNormal="90" workbookViewId="0">
      <selection activeCell="H26" sqref="H26"/>
    </sheetView>
  </sheetViews>
  <sheetFormatPr defaultRowHeight="14.4" x14ac:dyDescent="0.3"/>
  <sheetData>
    <row r="2" spans="1:18" ht="15" customHeight="1" x14ac:dyDescent="0.3">
      <c r="B2" s="51" t="s">
        <v>45</v>
      </c>
      <c r="C2" s="51"/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46"/>
    </row>
    <row r="3" spans="1:18" ht="15" customHeight="1" x14ac:dyDescent="0.3">
      <c r="A3" s="4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46"/>
    </row>
    <row r="4" spans="1:18" ht="15" customHeight="1" x14ac:dyDescent="0.3">
      <c r="A4" s="40"/>
      <c r="B4" s="51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46"/>
    </row>
    <row r="5" spans="1:18" ht="15" customHeight="1" x14ac:dyDescent="0.3">
      <c r="A5" s="40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46"/>
    </row>
    <row r="7" spans="1:18" s="34" customFormat="1" ht="42" customHeight="1" x14ac:dyDescent="0.3"/>
    <row r="8" spans="1:18" s="3" customFormat="1" ht="13.8" x14ac:dyDescent="0.25"/>
    <row r="9" spans="1:18" s="3" customFormat="1" ht="13.8" x14ac:dyDescent="0.25">
      <c r="B9" s="35"/>
      <c r="C9" s="35"/>
      <c r="D9" s="35"/>
      <c r="E9" s="35"/>
      <c r="F9" s="35"/>
      <c r="G9" s="35"/>
      <c r="H9" s="35"/>
      <c r="K9" s="35"/>
      <c r="L9" s="35"/>
      <c r="M9" s="35"/>
      <c r="N9" s="35"/>
      <c r="O9" s="35"/>
      <c r="P9" s="35"/>
      <c r="Q9" s="35"/>
      <c r="R9" s="35"/>
    </row>
    <row r="10" spans="1:18" s="3" customFormat="1" ht="13.8" x14ac:dyDescent="0.25">
      <c r="D10" s="54"/>
      <c r="E10" s="54"/>
      <c r="F10" s="54"/>
      <c r="G10" s="54"/>
      <c r="H10" s="54"/>
      <c r="K10" s="52" t="s">
        <v>26</v>
      </c>
      <c r="L10" s="52"/>
      <c r="M10" s="53">
        <v>43976</v>
      </c>
      <c r="N10" s="52"/>
    </row>
    <row r="11" spans="1:18" s="3" customFormat="1" ht="13.8" x14ac:dyDescent="0.25"/>
    <row r="12" spans="1:18" s="3" customFormat="1" ht="14.25" customHeight="1" x14ac:dyDescent="0.25">
      <c r="B12" s="48" t="s">
        <v>31</v>
      </c>
      <c r="C12" s="48"/>
      <c r="E12" s="37"/>
      <c r="F12" s="37"/>
      <c r="K12" s="50" t="s">
        <v>27</v>
      </c>
      <c r="L12" s="50"/>
      <c r="M12" s="49" t="s">
        <v>28</v>
      </c>
      <c r="N12" s="49"/>
      <c r="O12" s="49"/>
    </row>
    <row r="13" spans="1:18" s="3" customFormat="1" ht="14.25" customHeight="1" x14ac:dyDescent="0.25">
      <c r="B13" s="48"/>
      <c r="C13" s="48"/>
      <c r="D13" s="37"/>
      <c r="E13" s="49" t="s">
        <v>33</v>
      </c>
      <c r="F13" s="49"/>
      <c r="K13" s="50"/>
      <c r="L13" s="50"/>
      <c r="M13" s="49"/>
      <c r="N13" s="49"/>
      <c r="O13" s="49"/>
    </row>
    <row r="14" spans="1:18" s="3" customFormat="1" ht="14.25" customHeight="1" x14ac:dyDescent="0.25">
      <c r="B14" s="48"/>
      <c r="C14" s="48"/>
      <c r="D14" s="37"/>
      <c r="E14" s="49"/>
      <c r="F14" s="49"/>
      <c r="K14" s="50"/>
      <c r="L14" s="50"/>
      <c r="M14" s="49"/>
      <c r="N14" s="49"/>
      <c r="O14" s="49"/>
    </row>
    <row r="15" spans="1:18" s="3" customFormat="1" ht="13.8" x14ac:dyDescent="0.25">
      <c r="B15" s="48"/>
      <c r="C15" s="48"/>
      <c r="D15" s="37"/>
      <c r="E15" s="38"/>
      <c r="F15" s="38"/>
      <c r="K15" s="50"/>
      <c r="L15" s="50"/>
      <c r="M15" s="49"/>
      <c r="N15" s="49"/>
      <c r="O15" s="49"/>
      <c r="P15" s="47"/>
      <c r="Q15" s="47"/>
      <c r="R15" s="47"/>
    </row>
    <row r="16" spans="1:18" s="3" customFormat="1" ht="14.25" customHeight="1" x14ac:dyDescent="0.25">
      <c r="E16" s="39"/>
      <c r="F16" s="39"/>
    </row>
    <row r="17" spans="2:18" s="3" customFormat="1" ht="14.25" customHeight="1" x14ac:dyDescent="0.25">
      <c r="B17" s="48" t="s">
        <v>31</v>
      </c>
      <c r="C17" s="48"/>
      <c r="E17" s="38"/>
      <c r="F17" s="38"/>
      <c r="K17" s="50" t="s">
        <v>29</v>
      </c>
      <c r="L17" s="50"/>
      <c r="M17" s="49" t="s">
        <v>44</v>
      </c>
      <c r="N17" s="49"/>
      <c r="O17" s="49"/>
    </row>
    <row r="18" spans="2:18" s="3" customFormat="1" ht="14.25" customHeight="1" x14ac:dyDescent="0.25">
      <c r="B18" s="48"/>
      <c r="C18" s="48"/>
      <c r="D18" s="37"/>
      <c r="E18" s="49" t="s">
        <v>32</v>
      </c>
      <c r="F18" s="49"/>
      <c r="K18" s="50"/>
      <c r="L18" s="50"/>
      <c r="M18" s="49"/>
      <c r="N18" s="49"/>
      <c r="O18" s="49"/>
    </row>
    <row r="19" spans="2:18" s="3" customFormat="1" ht="13.8" x14ac:dyDescent="0.25">
      <c r="B19" s="48"/>
      <c r="C19" s="48"/>
      <c r="D19" s="37"/>
      <c r="E19" s="49"/>
      <c r="F19" s="49"/>
      <c r="K19" s="50"/>
      <c r="L19" s="50"/>
      <c r="M19" s="49"/>
      <c r="N19" s="49"/>
      <c r="O19" s="49"/>
    </row>
    <row r="20" spans="2:18" s="3" customFormat="1" ht="14.25" customHeight="1" x14ac:dyDescent="0.25">
      <c r="B20" s="48"/>
      <c r="C20" s="48"/>
      <c r="D20" s="37"/>
      <c r="E20" s="37"/>
      <c r="F20" s="37"/>
      <c r="K20" s="50"/>
      <c r="L20" s="50"/>
      <c r="M20" s="49"/>
      <c r="N20" s="49"/>
      <c r="O20" s="49"/>
    </row>
    <row r="21" spans="2:18" s="3" customFormat="1" ht="14.25" customHeight="1" x14ac:dyDescent="0.25"/>
    <row r="22" spans="2:18" s="3" customFormat="1" ht="14.25" customHeight="1" x14ac:dyDescent="0.25">
      <c r="K22" s="50" t="s">
        <v>30</v>
      </c>
      <c r="L22" s="50"/>
      <c r="M22" s="49" t="s">
        <v>41</v>
      </c>
      <c r="N22" s="49"/>
      <c r="O22" s="49"/>
    </row>
    <row r="23" spans="2:18" s="3" customFormat="1" ht="13.8" x14ac:dyDescent="0.25">
      <c r="K23" s="50"/>
      <c r="L23" s="50"/>
      <c r="M23" s="49"/>
      <c r="N23" s="49"/>
      <c r="O23" s="49"/>
    </row>
    <row r="24" spans="2:18" s="3" customFormat="1" ht="13.8" x14ac:dyDescent="0.25">
      <c r="K24" s="50"/>
      <c r="L24" s="50"/>
      <c r="M24" s="49"/>
      <c r="N24" s="49"/>
      <c r="O24" s="49"/>
    </row>
    <row r="25" spans="2:18" s="3" customFormat="1" ht="13.8" x14ac:dyDescent="0.25">
      <c r="K25" s="50"/>
      <c r="L25" s="50"/>
      <c r="M25" s="49"/>
      <c r="N25" s="49"/>
      <c r="O25" s="49"/>
    </row>
    <row r="26" spans="2:18" s="3" customFormat="1" ht="13.8" x14ac:dyDescent="0.25"/>
    <row r="27" spans="2:18" s="3" customFormat="1" ht="13.8" x14ac:dyDescent="0.25">
      <c r="B27" s="36"/>
      <c r="C27" s="36"/>
      <c r="D27" s="36"/>
      <c r="E27" s="36"/>
      <c r="F27" s="36"/>
      <c r="G27" s="36"/>
      <c r="H27" s="36"/>
      <c r="K27" s="36"/>
      <c r="L27" s="36"/>
      <c r="M27" s="36"/>
      <c r="N27" s="36"/>
      <c r="O27" s="36"/>
      <c r="P27" s="36"/>
      <c r="Q27" s="36"/>
      <c r="R27" s="36"/>
    </row>
    <row r="28" spans="2:18" s="3" customFormat="1" ht="13.8" x14ac:dyDescent="0.25"/>
    <row r="29" spans="2:18" s="3" customFormat="1" ht="13.8" x14ac:dyDescent="0.25"/>
    <row r="30" spans="2:18" s="3" customFormat="1" ht="13.8" x14ac:dyDescent="0.25"/>
    <row r="31" spans="2:18" s="3" customFormat="1" ht="13.8" x14ac:dyDescent="0.25"/>
    <row r="32" spans="2:18" s="3" customFormat="1" ht="13.8" x14ac:dyDescent="0.25"/>
    <row r="33" s="3" customFormat="1" ht="13.8" x14ac:dyDescent="0.25"/>
    <row r="34" s="3" customFormat="1" ht="13.8" x14ac:dyDescent="0.25"/>
    <row r="35" s="3" customFormat="1" ht="13.8" x14ac:dyDescent="0.25"/>
    <row r="36" s="3" customFormat="1" ht="13.8" x14ac:dyDescent="0.25"/>
    <row r="37" s="3" customFormat="1" ht="13.8" x14ac:dyDescent="0.25"/>
  </sheetData>
  <mergeCells count="15">
    <mergeCell ref="B2:O5"/>
    <mergeCell ref="K22:L25"/>
    <mergeCell ref="M22:O25"/>
    <mergeCell ref="K10:L10"/>
    <mergeCell ref="M10:N10"/>
    <mergeCell ref="D10:H10"/>
    <mergeCell ref="P15:R15"/>
    <mergeCell ref="B12:C15"/>
    <mergeCell ref="E13:F14"/>
    <mergeCell ref="B17:C20"/>
    <mergeCell ref="E18:F19"/>
    <mergeCell ref="K12:L15"/>
    <mergeCell ref="M12:O15"/>
    <mergeCell ref="K17:L20"/>
    <mergeCell ref="M17:O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J32"/>
  <sheetViews>
    <sheetView showGridLines="0" tabSelected="1" topLeftCell="A2" zoomScale="60" zoomScaleNormal="60" workbookViewId="0">
      <selection activeCell="H19" sqref="H19"/>
    </sheetView>
  </sheetViews>
  <sheetFormatPr defaultRowHeight="14.4" x14ac:dyDescent="0.3"/>
  <cols>
    <col min="2" max="3" width="16.5546875" customWidth="1"/>
    <col min="9" max="9" width="25" customWidth="1"/>
    <col min="10" max="10" width="24.21875" customWidth="1"/>
  </cols>
  <sheetData>
    <row r="2" spans="2:10" x14ac:dyDescent="0.3">
      <c r="B2" s="55" t="s">
        <v>9</v>
      </c>
      <c r="C2" s="55"/>
      <c r="D2" s="55"/>
      <c r="E2" s="55"/>
      <c r="F2" s="55"/>
      <c r="G2" s="55"/>
      <c r="H2" s="55"/>
      <c r="I2" s="55"/>
      <c r="J2" s="55"/>
    </row>
    <row r="3" spans="2:10" x14ac:dyDescent="0.3">
      <c r="B3" s="55"/>
      <c r="C3" s="55"/>
      <c r="D3" s="55"/>
      <c r="E3" s="55"/>
      <c r="F3" s="55"/>
      <c r="G3" s="55"/>
      <c r="H3" s="55"/>
      <c r="I3" s="55"/>
      <c r="J3" s="55"/>
    </row>
    <row r="4" spans="2:10" x14ac:dyDescent="0.3">
      <c r="B4" s="55"/>
      <c r="C4" s="55"/>
      <c r="D4" s="55"/>
      <c r="E4" s="55"/>
      <c r="F4" s="55"/>
      <c r="G4" s="55"/>
      <c r="H4" s="55"/>
      <c r="I4" s="55"/>
      <c r="J4" s="55"/>
    </row>
    <row r="5" spans="2:10" x14ac:dyDescent="0.3">
      <c r="B5" s="55"/>
      <c r="C5" s="55"/>
      <c r="D5" s="55"/>
      <c r="E5" s="55"/>
      <c r="F5" s="55"/>
      <c r="G5" s="55"/>
      <c r="H5" s="55"/>
      <c r="I5" s="55"/>
      <c r="J5" s="55"/>
    </row>
    <row r="7" spans="2:10" ht="26.25" customHeight="1" x14ac:dyDescent="0.3">
      <c r="I7" s="56" t="s">
        <v>42</v>
      </c>
      <c r="J7" s="56"/>
    </row>
    <row r="8" spans="2:10" ht="26.25" customHeight="1" x14ac:dyDescent="0.3">
      <c r="I8" s="6" t="s">
        <v>51</v>
      </c>
      <c r="J8" s="7">
        <v>369956.32899999642</v>
      </c>
    </row>
    <row r="9" spans="2:10" ht="26.25" customHeight="1" x14ac:dyDescent="0.3">
      <c r="I9" s="6" t="s">
        <v>52</v>
      </c>
      <c r="J9" s="7">
        <v>359731.95249999728</v>
      </c>
    </row>
    <row r="10" spans="2:10" ht="26.25" customHeight="1" x14ac:dyDescent="0.3">
      <c r="I10" s="6" t="s">
        <v>53</v>
      </c>
      <c r="J10" s="7">
        <v>390103.93799999746</v>
      </c>
    </row>
    <row r="11" spans="2:10" ht="26.25" customHeight="1" x14ac:dyDescent="0.3">
      <c r="I11" s="6" t="s">
        <v>54</v>
      </c>
      <c r="J11" s="7">
        <v>404882.37499999756</v>
      </c>
    </row>
    <row r="12" spans="2:10" ht="26.25" customHeight="1" x14ac:dyDescent="0.3">
      <c r="I12" s="6" t="s">
        <v>55</v>
      </c>
      <c r="J12" s="7">
        <v>282550.76699999813</v>
      </c>
    </row>
    <row r="13" spans="2:10" ht="26.25" customHeight="1" x14ac:dyDescent="0.3">
      <c r="I13" s="3"/>
      <c r="J13" s="3"/>
    </row>
    <row r="14" spans="2:10" ht="26.25" customHeight="1" x14ac:dyDescent="0.3">
      <c r="I14" s="56" t="s">
        <v>12</v>
      </c>
      <c r="J14" s="56"/>
    </row>
    <row r="15" spans="2:10" ht="26.25" customHeight="1" x14ac:dyDescent="0.3">
      <c r="I15" s="6" t="s">
        <v>46</v>
      </c>
      <c r="J15" s="7">
        <v>299243.75299999793</v>
      </c>
    </row>
    <row r="16" spans="2:10" ht="26.25" customHeight="1" x14ac:dyDescent="0.3">
      <c r="I16" s="6" t="s">
        <v>47</v>
      </c>
      <c r="J16" s="7">
        <v>305953.01299999829</v>
      </c>
    </row>
    <row r="17" spans="2:10" ht="26.25" customHeight="1" x14ac:dyDescent="0.3">
      <c r="I17" s="6" t="s">
        <v>3</v>
      </c>
      <c r="J17" s="7">
        <v>316229.85149999766</v>
      </c>
    </row>
    <row r="18" spans="2:10" ht="26.25" customHeight="1" x14ac:dyDescent="0.3">
      <c r="I18" s="3"/>
      <c r="J18" s="3"/>
    </row>
    <row r="19" spans="2:10" ht="26.25" customHeight="1" x14ac:dyDescent="0.3">
      <c r="I19" s="56" t="s">
        <v>43</v>
      </c>
      <c r="J19" s="56"/>
    </row>
    <row r="20" spans="2:10" ht="26.25" customHeight="1" x14ac:dyDescent="0.3">
      <c r="I20" s="6" t="s">
        <v>4</v>
      </c>
      <c r="J20" s="8">
        <v>0.37947284345047844</v>
      </c>
    </row>
    <row r="21" spans="2:10" ht="26.25" customHeight="1" x14ac:dyDescent="0.3">
      <c r="I21" s="6" t="s">
        <v>5</v>
      </c>
      <c r="J21" s="8">
        <v>0.35307909604519833</v>
      </c>
    </row>
    <row r="22" spans="2:10" ht="26.25" customHeight="1" x14ac:dyDescent="0.3">
      <c r="I22" s="6" t="s">
        <v>6</v>
      </c>
      <c r="J22" s="8">
        <v>0.34768015794669266</v>
      </c>
    </row>
    <row r="23" spans="2:10" ht="26.25" customHeight="1" x14ac:dyDescent="0.3">
      <c r="I23" s="6" t="s">
        <v>7</v>
      </c>
      <c r="J23" s="8">
        <v>0.37103773584905636</v>
      </c>
    </row>
    <row r="24" spans="2:10" ht="26.25" customHeight="1" x14ac:dyDescent="0.3">
      <c r="I24" s="6" t="s">
        <v>8</v>
      </c>
      <c r="J24" s="8">
        <v>0.37972972972972907</v>
      </c>
    </row>
    <row r="25" spans="2:10" ht="26.25" customHeight="1" x14ac:dyDescent="0.3">
      <c r="I25" s="3"/>
      <c r="J25" s="3"/>
    </row>
    <row r="26" spans="2:10" x14ac:dyDescent="0.3">
      <c r="B26" s="2"/>
    </row>
    <row r="27" spans="2:10" x14ac:dyDescent="0.3">
      <c r="B27" s="3" t="s">
        <v>10</v>
      </c>
      <c r="C27" s="3"/>
      <c r="D27" s="3"/>
      <c r="E27" s="3"/>
      <c r="F27" s="3"/>
      <c r="G27" s="3"/>
      <c r="H27" s="3"/>
      <c r="I27" s="4" t="s">
        <v>11</v>
      </c>
      <c r="J27" s="5">
        <v>43976</v>
      </c>
    </row>
    <row r="32" spans="2:10" x14ac:dyDescent="0.3">
      <c r="J32" s="44">
        <v>43976</v>
      </c>
    </row>
  </sheetData>
  <mergeCells count="4">
    <mergeCell ref="B2:J5"/>
    <mergeCell ref="I7:J7"/>
    <mergeCell ref="I14:J14"/>
    <mergeCell ref="I19:J1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R63"/>
  <sheetViews>
    <sheetView showGridLines="0" topLeftCell="A8" zoomScaleNormal="100" zoomScaleSheetLayoutView="100" workbookViewId="0">
      <selection activeCell="H9" sqref="H9:K34"/>
    </sheetView>
  </sheetViews>
  <sheetFormatPr defaultColWidth="9.21875" defaultRowHeight="14.4" x14ac:dyDescent="0.3"/>
  <cols>
    <col min="1" max="1" width="5.77734375" customWidth="1"/>
    <col min="2" max="2" width="1" customWidth="1"/>
    <col min="3" max="5" width="13.44140625" customWidth="1"/>
    <col min="6" max="6" width="13.5546875" customWidth="1"/>
    <col min="7" max="7" width="8.44140625" customWidth="1"/>
    <col min="12" max="12" width="1" customWidth="1"/>
    <col min="13" max="15" width="5.77734375" customWidth="1"/>
    <col min="16" max="16" width="19.21875" style="22" customWidth="1"/>
    <col min="17" max="17" width="18.21875" style="23" bestFit="1" customWidth="1"/>
    <col min="18" max="18" width="16.77734375" style="23" bestFit="1" customWidth="1"/>
    <col min="19" max="19" width="11.5546875" customWidth="1"/>
  </cols>
  <sheetData>
    <row r="1" spans="2:18" x14ac:dyDescent="0.3">
      <c r="P1" s="45"/>
    </row>
    <row r="2" spans="2:18" ht="6" customHeight="1" x14ac:dyDescent="0.3">
      <c r="B2" s="41"/>
      <c r="C2" s="42"/>
      <c r="D2" s="42"/>
      <c r="E2" s="42"/>
      <c r="F2" s="42"/>
      <c r="G2" s="42"/>
      <c r="H2" s="42"/>
      <c r="I2" s="42"/>
      <c r="J2" s="42"/>
      <c r="K2" s="42"/>
      <c r="L2" s="43"/>
    </row>
    <row r="3" spans="2:18" ht="18" customHeight="1" x14ac:dyDescent="0.3">
      <c r="B3" s="11"/>
      <c r="C3" s="60" t="s">
        <v>0</v>
      </c>
      <c r="D3" s="60"/>
      <c r="E3" s="60"/>
      <c r="F3" s="60"/>
      <c r="G3" s="60"/>
      <c r="H3" s="60"/>
      <c r="I3" s="60"/>
      <c r="J3" s="60"/>
      <c r="K3" s="60"/>
      <c r="L3" s="12"/>
    </row>
    <row r="4" spans="2:18" ht="18" customHeight="1" x14ac:dyDescent="0.3">
      <c r="B4" s="11"/>
      <c r="C4" s="60"/>
      <c r="D4" s="60"/>
      <c r="E4" s="60"/>
      <c r="F4" s="60"/>
      <c r="G4" s="60"/>
      <c r="H4" s="60"/>
      <c r="I4" s="60"/>
      <c r="J4" s="60"/>
      <c r="K4" s="60"/>
      <c r="L4" s="12"/>
    </row>
    <row r="5" spans="2:18" ht="18" customHeight="1" x14ac:dyDescent="0.3">
      <c r="B5" s="11"/>
      <c r="C5" s="60"/>
      <c r="D5" s="60"/>
      <c r="E5" s="60"/>
      <c r="F5" s="60"/>
      <c r="G5" s="60"/>
      <c r="H5" s="60"/>
      <c r="I5" s="60"/>
      <c r="J5" s="60"/>
      <c r="K5" s="60"/>
      <c r="L5" s="12"/>
      <c r="P5" s="16" t="s">
        <v>34</v>
      </c>
      <c r="R5"/>
    </row>
    <row r="6" spans="2:18" ht="15" customHeight="1" x14ac:dyDescent="0.3">
      <c r="B6" s="11"/>
      <c r="C6" s="60"/>
      <c r="D6" s="60"/>
      <c r="E6" s="60"/>
      <c r="F6" s="60"/>
      <c r="G6" s="60"/>
      <c r="H6" s="60"/>
      <c r="I6" s="60"/>
      <c r="J6" s="60"/>
      <c r="K6" s="60"/>
      <c r="L6" s="12"/>
      <c r="P6" s="28" t="s">
        <v>2</v>
      </c>
      <c r="Q6" s="29" t="s">
        <v>36</v>
      </c>
      <c r="R6"/>
    </row>
    <row r="7" spans="2:18" ht="15" customHeight="1" x14ac:dyDescent="0.3">
      <c r="B7" s="11"/>
      <c r="C7" s="62" t="s">
        <v>1</v>
      </c>
      <c r="D7" s="62"/>
      <c r="E7" s="62"/>
      <c r="F7" s="62"/>
      <c r="G7" s="10"/>
      <c r="H7" s="59" t="s">
        <v>19</v>
      </c>
      <c r="I7" s="59"/>
      <c r="J7" s="61">
        <v>43976</v>
      </c>
      <c r="K7" s="61"/>
      <c r="L7" s="12"/>
      <c r="P7" s="31" t="s">
        <v>5</v>
      </c>
      <c r="Q7" s="32">
        <v>77806.472499999843</v>
      </c>
      <c r="R7"/>
    </row>
    <row r="8" spans="2:18" ht="15" customHeight="1" x14ac:dyDescent="0.3">
      <c r="B8" s="11"/>
      <c r="C8" s="62"/>
      <c r="D8" s="62"/>
      <c r="E8" s="62"/>
      <c r="F8" s="62"/>
      <c r="G8" s="10"/>
      <c r="H8" s="59"/>
      <c r="I8" s="59"/>
      <c r="J8" s="61"/>
      <c r="K8" s="61"/>
      <c r="L8" s="12"/>
      <c r="M8" s="1"/>
      <c r="P8" s="25" t="s">
        <v>4</v>
      </c>
      <c r="Q8" s="26">
        <v>48115.764999999999</v>
      </c>
      <c r="R8"/>
    </row>
    <row r="9" spans="2:18" ht="15" customHeight="1" x14ac:dyDescent="0.3">
      <c r="B9" s="11"/>
      <c r="C9" s="66" t="s">
        <v>13</v>
      </c>
      <c r="D9" s="66"/>
      <c r="E9" s="66"/>
      <c r="F9" s="66"/>
      <c r="G9" s="66"/>
      <c r="H9" s="66" t="s">
        <v>17</v>
      </c>
      <c r="I9" s="66"/>
      <c r="J9" s="66"/>
      <c r="K9" s="66"/>
      <c r="L9" s="12"/>
      <c r="M9" s="1"/>
      <c r="P9" s="25" t="s">
        <v>8</v>
      </c>
      <c r="Q9" s="26">
        <v>46934.308000000019</v>
      </c>
      <c r="R9"/>
    </row>
    <row r="10" spans="2:18" x14ac:dyDescent="0.3">
      <c r="B10" s="11"/>
      <c r="C10" s="66"/>
      <c r="D10" s="66"/>
      <c r="E10" s="66"/>
      <c r="F10" s="66"/>
      <c r="G10" s="66"/>
      <c r="H10" s="66"/>
      <c r="I10" s="66"/>
      <c r="J10" s="66"/>
      <c r="K10" s="66"/>
      <c r="L10" s="12"/>
      <c r="P10" s="25" t="s">
        <v>7</v>
      </c>
      <c r="Q10" s="26">
        <v>44529.924000000021</v>
      </c>
      <c r="R10"/>
    </row>
    <row r="11" spans="2:18" x14ac:dyDescent="0.3">
      <c r="B11" s="11"/>
      <c r="L11" s="12"/>
      <c r="M11" s="9"/>
      <c r="P11" s="25" t="s">
        <v>6</v>
      </c>
      <c r="Q11" s="26">
        <v>31742.995500000012</v>
      </c>
      <c r="R11"/>
    </row>
    <row r="12" spans="2:18" x14ac:dyDescent="0.3">
      <c r="B12" s="11"/>
      <c r="L12" s="12"/>
      <c r="M12" s="9"/>
    </row>
    <row r="13" spans="2:18" x14ac:dyDescent="0.3">
      <c r="B13" s="11"/>
      <c r="L13" s="12"/>
    </row>
    <row r="14" spans="2:18" x14ac:dyDescent="0.3">
      <c r="B14" s="11"/>
      <c r="L14" s="12"/>
    </row>
    <row r="15" spans="2:18" x14ac:dyDescent="0.3">
      <c r="B15" s="11"/>
      <c r="L15" s="12"/>
      <c r="P15" s="16" t="s">
        <v>17</v>
      </c>
    </row>
    <row r="16" spans="2:18" x14ac:dyDescent="0.3">
      <c r="B16" s="11"/>
      <c r="L16" s="12"/>
      <c r="P16" s="28" t="s">
        <v>16</v>
      </c>
      <c r="Q16" s="29" t="s">
        <v>37</v>
      </c>
    </row>
    <row r="17" spans="2:17" x14ac:dyDescent="0.3">
      <c r="B17" s="11"/>
      <c r="L17" s="12"/>
      <c r="P17" s="30">
        <v>8</v>
      </c>
      <c r="Q17" s="30">
        <v>805</v>
      </c>
    </row>
    <row r="18" spans="2:17" x14ac:dyDescent="0.3">
      <c r="B18" s="11"/>
      <c r="L18" s="12"/>
      <c r="P18" s="24">
        <v>9</v>
      </c>
      <c r="Q18" s="24">
        <v>796</v>
      </c>
    </row>
    <row r="19" spans="2:17" x14ac:dyDescent="0.3">
      <c r="B19" s="11"/>
      <c r="L19" s="12"/>
      <c r="P19" s="24">
        <v>10</v>
      </c>
      <c r="Q19" s="24">
        <v>774</v>
      </c>
    </row>
    <row r="20" spans="2:17" x14ac:dyDescent="0.3">
      <c r="B20" s="11"/>
      <c r="L20" s="12"/>
      <c r="P20" s="24">
        <v>11</v>
      </c>
      <c r="Q20" s="24">
        <v>819</v>
      </c>
    </row>
    <row r="21" spans="2:17" x14ac:dyDescent="0.3">
      <c r="B21" s="11"/>
      <c r="L21" s="12"/>
      <c r="P21" s="24">
        <v>12</v>
      </c>
      <c r="Q21" s="24">
        <v>732</v>
      </c>
    </row>
    <row r="22" spans="2:17" x14ac:dyDescent="0.3">
      <c r="B22" s="11"/>
      <c r="L22" s="12"/>
      <c r="P22" s="24">
        <v>13</v>
      </c>
      <c r="Q22" s="24">
        <v>787</v>
      </c>
    </row>
    <row r="23" spans="2:17" x14ac:dyDescent="0.3">
      <c r="B23" s="11"/>
      <c r="L23" s="12"/>
      <c r="P23" s="24">
        <v>14</v>
      </c>
      <c r="Q23" s="24">
        <v>765</v>
      </c>
    </row>
    <row r="24" spans="2:17" x14ac:dyDescent="0.3">
      <c r="B24" s="11"/>
      <c r="L24" s="12"/>
      <c r="P24" s="24">
        <v>15</v>
      </c>
      <c r="Q24" s="24">
        <v>736</v>
      </c>
    </row>
    <row r="25" spans="2:17" x14ac:dyDescent="0.3">
      <c r="B25" s="11"/>
      <c r="L25" s="12"/>
      <c r="P25" s="24">
        <v>16</v>
      </c>
      <c r="Q25" s="24">
        <v>809</v>
      </c>
    </row>
    <row r="26" spans="2:17" x14ac:dyDescent="0.3">
      <c r="B26" s="11"/>
      <c r="L26" s="12"/>
      <c r="Q26" s="22"/>
    </row>
    <row r="27" spans="2:17" x14ac:dyDescent="0.3">
      <c r="B27" s="11"/>
      <c r="L27" s="12"/>
    </row>
    <row r="28" spans="2:17" x14ac:dyDescent="0.3">
      <c r="B28" s="11"/>
      <c r="L28" s="12"/>
    </row>
    <row r="29" spans="2:17" x14ac:dyDescent="0.3">
      <c r="B29" s="11"/>
      <c r="L29" s="12"/>
      <c r="P29" s="16" t="s">
        <v>21</v>
      </c>
    </row>
    <row r="30" spans="2:17" x14ac:dyDescent="0.3">
      <c r="B30" s="11"/>
      <c r="L30" s="12"/>
      <c r="P30" s="28" t="s">
        <v>20</v>
      </c>
      <c r="Q30" s="29" t="s">
        <v>35</v>
      </c>
    </row>
    <row r="31" spans="2:17" x14ac:dyDescent="0.3">
      <c r="B31" s="11"/>
      <c r="L31" s="12"/>
      <c r="P31" s="31" t="s">
        <v>46</v>
      </c>
      <c r="Q31" s="33">
        <v>0.16558186896603203</v>
      </c>
    </row>
    <row r="32" spans="2:17" x14ac:dyDescent="0.3">
      <c r="B32" s="11"/>
      <c r="L32" s="12"/>
      <c r="P32" s="25" t="s">
        <v>47</v>
      </c>
      <c r="Q32" s="27">
        <v>0.16929433346710085</v>
      </c>
    </row>
    <row r="33" spans="2:18" x14ac:dyDescent="0.3">
      <c r="B33" s="11"/>
      <c r="L33" s="12"/>
      <c r="P33" s="25" t="s">
        <v>3</v>
      </c>
      <c r="Q33" s="27">
        <v>0.17498086195376888</v>
      </c>
    </row>
    <row r="34" spans="2:18" x14ac:dyDescent="0.3">
      <c r="B34" s="11"/>
      <c r="L34" s="12"/>
      <c r="P34" s="25" t="s">
        <v>49</v>
      </c>
      <c r="Q34" s="27">
        <v>0.19935653332185649</v>
      </c>
    </row>
    <row r="35" spans="2:18" x14ac:dyDescent="0.3">
      <c r="B35" s="11"/>
      <c r="L35" s="12"/>
      <c r="P35" s="25" t="s">
        <v>48</v>
      </c>
      <c r="Q35" s="27">
        <v>0.29078640229118413</v>
      </c>
    </row>
    <row r="36" spans="2:18" x14ac:dyDescent="0.3">
      <c r="B36" s="11"/>
      <c r="L36" s="12"/>
    </row>
    <row r="37" spans="2:18" x14ac:dyDescent="0.3">
      <c r="B37" s="11"/>
      <c r="C37" s="66" t="s">
        <v>18</v>
      </c>
      <c r="D37" s="66"/>
      <c r="E37" s="66"/>
      <c r="F37" s="66"/>
      <c r="G37" s="66" t="s">
        <v>21</v>
      </c>
      <c r="H37" s="66"/>
      <c r="I37" s="66"/>
      <c r="J37" s="66"/>
      <c r="K37" s="66"/>
      <c r="L37" s="12"/>
    </row>
    <row r="38" spans="2:18" x14ac:dyDescent="0.3">
      <c r="B38" s="11"/>
      <c r="C38" s="66"/>
      <c r="D38" s="66"/>
      <c r="E38" s="66"/>
      <c r="F38" s="66"/>
      <c r="G38" s="66"/>
      <c r="H38" s="66"/>
      <c r="I38" s="66"/>
      <c r="J38" s="66"/>
      <c r="K38" s="66"/>
      <c r="L38" s="12"/>
    </row>
    <row r="39" spans="2:18" x14ac:dyDescent="0.3">
      <c r="B39" s="11"/>
      <c r="L39" s="12"/>
      <c r="P39" s="16" t="s">
        <v>22</v>
      </c>
    </row>
    <row r="40" spans="2:18" x14ac:dyDescent="0.3">
      <c r="B40" s="11"/>
      <c r="L40" s="12"/>
      <c r="P40" s="28" t="s">
        <v>2</v>
      </c>
      <c r="Q40" s="29" t="s">
        <v>15</v>
      </c>
      <c r="R40" s="29" t="s">
        <v>14</v>
      </c>
    </row>
    <row r="41" spans="2:18" x14ac:dyDescent="0.3">
      <c r="B41" s="11"/>
      <c r="L41" s="12"/>
      <c r="P41" s="17" t="s">
        <v>6</v>
      </c>
      <c r="Q41" s="19">
        <v>305953.01299999829</v>
      </c>
      <c r="R41" s="19">
        <v>250000</v>
      </c>
    </row>
    <row r="42" spans="2:18" x14ac:dyDescent="0.3">
      <c r="B42" s="11"/>
      <c r="L42" s="12"/>
      <c r="P42" s="18" t="s">
        <v>4</v>
      </c>
      <c r="Q42" s="20">
        <v>360282.18299999699</v>
      </c>
      <c r="R42" s="20">
        <v>275000</v>
      </c>
    </row>
    <row r="43" spans="2:18" x14ac:dyDescent="0.3">
      <c r="B43" s="11"/>
      <c r="L43" s="12"/>
      <c r="P43" s="18" t="s">
        <v>8</v>
      </c>
      <c r="Q43" s="20">
        <v>299243.75299999793</v>
      </c>
      <c r="R43" s="20">
        <v>350000</v>
      </c>
    </row>
    <row r="44" spans="2:18" x14ac:dyDescent="0.3">
      <c r="B44" s="11"/>
      <c r="L44" s="12"/>
      <c r="P44" s="18" t="s">
        <v>7</v>
      </c>
      <c r="Q44" s="20">
        <v>316229.85149999749</v>
      </c>
      <c r="R44" s="20">
        <v>425000</v>
      </c>
    </row>
    <row r="45" spans="2:18" x14ac:dyDescent="0.3">
      <c r="B45" s="11"/>
      <c r="L45" s="12"/>
      <c r="P45" s="18" t="s">
        <v>5</v>
      </c>
      <c r="Q45" s="20">
        <v>525516.56099999615</v>
      </c>
      <c r="R45" s="20">
        <v>450000</v>
      </c>
    </row>
    <row r="46" spans="2:18" x14ac:dyDescent="0.3">
      <c r="B46" s="11"/>
      <c r="L46" s="12"/>
    </row>
    <row r="47" spans="2:18" x14ac:dyDescent="0.3">
      <c r="B47" s="11"/>
      <c r="L47" s="12"/>
    </row>
    <row r="48" spans="2:18" x14ac:dyDescent="0.3">
      <c r="B48" s="11"/>
      <c r="L48" s="12"/>
    </row>
    <row r="49" spans="2:12" x14ac:dyDescent="0.3">
      <c r="B49" s="11"/>
      <c r="L49" s="12"/>
    </row>
    <row r="50" spans="2:12" ht="15" customHeight="1" x14ac:dyDescent="0.3">
      <c r="B50" s="11"/>
      <c r="D50" s="10"/>
      <c r="E50" s="10"/>
      <c r="F50" s="10"/>
      <c r="G50" s="10"/>
      <c r="H50" s="10"/>
      <c r="I50" s="10"/>
      <c r="L50" s="12"/>
    </row>
    <row r="51" spans="2:12" x14ac:dyDescent="0.3">
      <c r="B51" s="11"/>
      <c r="L51" s="12"/>
    </row>
    <row r="52" spans="2:12" ht="6" customHeight="1" x14ac:dyDescent="0.3">
      <c r="B52" s="13"/>
      <c r="C52" s="14"/>
      <c r="D52" s="14"/>
      <c r="E52" s="14"/>
      <c r="F52" s="14"/>
      <c r="G52" s="14"/>
      <c r="H52" s="14"/>
      <c r="I52" s="14"/>
      <c r="J52" s="14"/>
      <c r="K52" s="14"/>
      <c r="L52" s="15"/>
    </row>
    <row r="54" spans="2:12" ht="19.5" customHeight="1" x14ac:dyDescent="0.3">
      <c r="C54" s="63" t="s">
        <v>23</v>
      </c>
      <c r="D54" s="63"/>
      <c r="E54" s="21" t="s">
        <v>24</v>
      </c>
      <c r="F54" s="64" t="s">
        <v>39</v>
      </c>
      <c r="G54" s="65"/>
      <c r="H54" s="65"/>
      <c r="I54" s="65"/>
      <c r="J54" s="65"/>
      <c r="K54" s="65"/>
    </row>
    <row r="55" spans="2:12" ht="19.5" customHeight="1" x14ac:dyDescent="0.3">
      <c r="C55" s="63"/>
      <c r="D55" s="63"/>
      <c r="E55" s="21" t="s">
        <v>25</v>
      </c>
      <c r="F55" s="64" t="s">
        <v>40</v>
      </c>
      <c r="G55" s="65"/>
      <c r="H55" s="65"/>
      <c r="I55" s="65"/>
      <c r="J55" s="65"/>
      <c r="K55" s="65"/>
    </row>
    <row r="56" spans="2:12" ht="15" customHeight="1" x14ac:dyDescent="0.3">
      <c r="E56" s="58" t="s">
        <v>38</v>
      </c>
      <c r="F56" s="57" t="s">
        <v>50</v>
      </c>
      <c r="G56" s="57"/>
      <c r="H56" s="57"/>
      <c r="I56" s="57"/>
      <c r="J56" s="57"/>
      <c r="K56" s="57"/>
    </row>
    <row r="57" spans="2:12" x14ac:dyDescent="0.3">
      <c r="E57" s="58"/>
      <c r="F57" s="57"/>
      <c r="G57" s="57"/>
      <c r="H57" s="57"/>
      <c r="I57" s="57"/>
      <c r="J57" s="57"/>
      <c r="K57" s="57"/>
    </row>
    <row r="58" spans="2:12" x14ac:dyDescent="0.3">
      <c r="E58" s="58"/>
      <c r="F58" s="57"/>
      <c r="G58" s="57"/>
      <c r="H58" s="57"/>
      <c r="I58" s="57"/>
      <c r="J58" s="57"/>
      <c r="K58" s="57"/>
    </row>
    <row r="59" spans="2:12" x14ac:dyDescent="0.3">
      <c r="E59" s="58"/>
      <c r="F59" s="57"/>
      <c r="G59" s="57"/>
      <c r="H59" s="57"/>
      <c r="I59" s="57"/>
      <c r="J59" s="57"/>
      <c r="K59" s="57"/>
    </row>
    <row r="60" spans="2:12" x14ac:dyDescent="0.3">
      <c r="E60" s="58"/>
      <c r="F60" s="57"/>
      <c r="G60" s="57"/>
      <c r="H60" s="57"/>
      <c r="I60" s="57"/>
      <c r="J60" s="57"/>
      <c r="K60" s="57"/>
    </row>
    <row r="61" spans="2:12" x14ac:dyDescent="0.3">
      <c r="E61" s="58"/>
      <c r="F61" s="57"/>
      <c r="G61" s="57"/>
      <c r="H61" s="57"/>
      <c r="I61" s="57"/>
      <c r="J61" s="57"/>
      <c r="K61" s="57"/>
    </row>
    <row r="62" spans="2:12" x14ac:dyDescent="0.3">
      <c r="E62" s="58"/>
      <c r="F62" s="57"/>
      <c r="G62" s="57"/>
      <c r="H62" s="57"/>
      <c r="I62" s="57"/>
      <c r="J62" s="57"/>
      <c r="K62" s="57"/>
    </row>
    <row r="63" spans="2:12" x14ac:dyDescent="0.3">
      <c r="E63" s="58"/>
      <c r="F63" s="57"/>
      <c r="G63" s="57"/>
      <c r="H63" s="57"/>
      <c r="I63" s="57"/>
      <c r="J63" s="57"/>
      <c r="K63" s="57"/>
    </row>
  </sheetData>
  <mergeCells count="13">
    <mergeCell ref="F56:K63"/>
    <mergeCell ref="E56:E63"/>
    <mergeCell ref="H7:I8"/>
    <mergeCell ref="C3:K6"/>
    <mergeCell ref="J7:K8"/>
    <mergeCell ref="C7:F8"/>
    <mergeCell ref="C54:D55"/>
    <mergeCell ref="F55:K55"/>
    <mergeCell ref="F54:K54"/>
    <mergeCell ref="C9:G10"/>
    <mergeCell ref="H9:K10"/>
    <mergeCell ref="C37:F38"/>
    <mergeCell ref="G37:K38"/>
  </mergeCells>
  <hyperlinks>
    <hyperlink ref="F54" r:id="rId1" xr:uid="{00000000-0004-0000-0200-000000000000}"/>
    <hyperlink ref="F55" r:id="rId2" xr:uid="{00000000-0004-0000-0200-000001000000}"/>
  </hyperlinks>
  <pageMargins left="0.25" right="0.25" top="0.75" bottom="0.75" header="0.3" footer="0.3"/>
  <pageSetup paperSize="9" scale="99" orientation="portrait" r:id="rId3"/>
  <colBreaks count="1" manualBreakCount="1">
    <brk id="12" max="1048575" man="1"/>
  </colBreaks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MAIN</vt:lpstr>
      <vt:lpstr>Report 1</vt:lpstr>
      <vt:lpstr>Report 2</vt:lpstr>
      <vt:lpstr>'Report 1'!Print_Area</vt:lpstr>
      <vt:lpstr>'Report 2'!Print_Area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Aman Danish</cp:lastModifiedBy>
  <cp:lastPrinted>2025-03-06T01:07:43Z</cp:lastPrinted>
  <dcterms:created xsi:type="dcterms:W3CDTF">2020-02-03T08:29:59Z</dcterms:created>
  <dcterms:modified xsi:type="dcterms:W3CDTF">2025-03-06T02:04:05Z</dcterms:modified>
</cp:coreProperties>
</file>